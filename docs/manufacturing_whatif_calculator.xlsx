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hat-If Calculato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<sst xmlns="http://schemas.openxmlformats.org/spreadsheetml/2006/main" count="22" uniqueCount="22">
  <si>
    <t xml:space="preserve">Manufacturing Defect Rate — What-If Calculator</t>
  </si>
  <si>
    <t xml:space="preserve">Based on: manufacturing_defects table, MaintenanceHours vs DefectStatus</t>
  </si>
  <si>
    <t xml:space="preserve">Maintenance Hours Bin</t>
  </si>
  <si>
    <t xml:space="preserve">Historical Defect Rate %</t>
  </si>
  <si>
    <t xml:space="preserve">Input: Maintenance Hours</t>
  </si>
  <si>
    <t xml:space="preserve">Predicted Defect Rate %</t>
  </si>
  <si>
    <t xml:space="preserve">0-2</t>
  </si>
  <si>
    <t xml:space="preserve">2-4</t>
  </si>
  <si>
    <t xml:space="preserve">4-6</t>
  </si>
  <si>
    <t xml:space="preserve">Legend: Yellow cell = your input. Type any value 0-24.</t>
  </si>
  <si>
    <t xml:space="preserve">6-8</t>
  </si>
  <si>
    <t xml:space="preserve">8-10</t>
  </si>
  <si>
    <t xml:space="preserve">10-12</t>
  </si>
  <si>
    <t xml:space="preserve">12-14</t>
  </si>
  <si>
    <t xml:space="preserve">14-16</t>
  </si>
  <si>
    <t xml:space="preserve">16-18</t>
  </si>
  <si>
    <t xml:space="preserve">18-20</t>
  </si>
  <si>
    <t xml:space="preserve">20-22</t>
  </si>
  <si>
    <t xml:space="preserve">22-24</t>
  </si>
  <si>
    <t xml:space="preserve">Source: computed from manufacturing_defects table via pandas groupby (see project notebook)</t>
  </si>
  <si>
    <t xml:space="preserve">Interpretation</t>
  </si>
  <si>
    <t xml:space="preserve">Defect rate holds steady around 65-75% for maintenance hours under 10, then jumps sharply to 94-97% at 12+ hours — a threshold effect, not a linear relationship. Recommendation: investigate what distinguishes machines crossing the 10-12 hour maintenance threshold, rather than treating maintenance hours as a simple linear risk factor.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</si>
</sst>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8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F81BD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Defect Rate by Maintenance Hours Bin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'What-If Calculator'!B4</c:f>
              <c:strCache>
                <c:ptCount val="1"/>
                <c:pt idx="0">
                  <c:v>Historical Defect Rate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'What-If Calculator'!$A$5:$A$16</c:f>
              <c:strCache>
                <c:ptCount val="12"/>
                <c:pt idx="0">
                  <c:v>0-2</c:v>
                </c:pt>
                <c:pt idx="1">
                  <c:v>2-4</c:v>
                </c:pt>
                <c:pt idx="2">
                  <c:v>4-6</c:v>
                </c:pt>
                <c:pt idx="3">
                  <c:v>6-8</c:v>
                </c:pt>
                <c:pt idx="4">
                  <c:v>8-10</c:v>
                </c:pt>
                <c:pt idx="5">
                  <c:v>10-12</c:v>
                </c:pt>
                <c:pt idx="6">
                  <c:v>12-14</c:v>
                </c:pt>
                <c:pt idx="7">
                  <c:v>14-16</c:v>
                </c:pt>
                <c:pt idx="8">
                  <c:v>16-18</c:v>
                </c:pt>
                <c:pt idx="9">
                  <c:v>18-20</c:v>
                </c:pt>
                <c:pt idx="10">
                  <c:v>20-22</c:v>
                </c:pt>
                <c:pt idx="11">
                  <c:v>22-24</c:v>
                </c:pt>
              </c:strCache>
            </c:strRef>
          </c:cat>
          <c:val>
            <c:numRef>
              <c:f>'What-If Calculator'!$B$5:$B$16</c:f>
              <c:numCache>
                <c:formatCode>0.0%</c:formatCode>
                <c:ptCount val="12"/>
                <c:pt idx="0">
                  <c:v>0.72</c:v>
                </c:pt>
                <c:pt idx="1">
                  <c:v>0.683</c:v>
                </c:pt>
                <c:pt idx="2">
                  <c:v>0.751</c:v>
                </c:pt>
                <c:pt idx="3">
                  <c:v>0.687</c:v>
                </c:pt>
                <c:pt idx="4">
                  <c:v>0.638</c:v>
                </c:pt>
                <c:pt idx="5">
                  <c:v>0.939</c:v>
                </c:pt>
                <c:pt idx="6">
                  <c:v>0.958</c:v>
                </c:pt>
                <c:pt idx="7">
                  <c:v>0.947</c:v>
                </c:pt>
                <c:pt idx="8">
                  <c:v>0.954</c:v>
                </c:pt>
                <c:pt idx="9">
                  <c:v>0.968</c:v>
                </c:pt>
                <c:pt idx="10">
                  <c:v>0.973</c:v>
                </c:pt>
                <c:pt idx="11">
                  <c:v>0.959</c:v>
                </c:pt>
              </c:numCache>
            </c:numRef>
          </c:val>
        </c:ser>
        <c:gapWidth val="150"/>
        <c:overlap val="0"/>
        <c:axId val="16575838"/>
        <c:axId val="14942304"/>
      </c:barChart>
      <c:catAx>
        <c:axId val="1657583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Maintenance 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942304"/>
        <c:crosses val="autoZero"/>
        <c:auto val="1"/>
        <c:lblAlgn val="ctr"/>
        <c:lblOffset val="100"/>
        <c:noMultiLvlLbl val="0"/>
      </c:catAx>
      <c:valAx>
        <c:axId val="149423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Defect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57583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22</xdr:row>
      <xdr:rowOff>160560</xdr:rowOff>
    </xdr:from>
    <xdr:to>
      <xdr:col>4</xdr:col>
      <xdr:colOff>637200</xdr:colOff>
      <xdr:row>37</xdr:row>
      <xdr:rowOff>182520</xdr:rowOff>
    </xdr:to>
    <xdr:graphicFrame>
      <xdr:nvGraphicFramePr>
        <xdr:cNvPr id="0" name="Chart 1"/>
        <xdr:cNvGraphicFramePr/>
      </xdr:nvGraphicFramePr>
      <xdr:xfrm>
        <a:off x="0" y="49528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4" min="4" style="0" width="22"/>
    <col collapsed="false" customWidth="true" hidden="false" outlineLevel="0" max="5" min="5" style="0" width="20"/>
  </cols>
  <sheetData>
    <row r="1" customFormat="false" ht="17.35" hidden="false" customHeight="false" outlineLevel="0" collapsed="false">
      <c r="A1" s="1" t="s">
        <v>0</v>
      </c>
      <c r="B1" s="1"/>
    </row>
    <row r="2" customFormat="false" ht="15" hidden="false" customHeight="false" outlineLevel="0" collapsed="false">
      <c r="A2" s="2" t="s">
        <v>1</v>
      </c>
      <c r="B2" s="2"/>
    </row>
    <row r="4" customFormat="false" ht="15" hidden="false" customHeight="false" outlineLevel="0" collapsed="false">
      <c r="A4" s="3" t="s">
        <v>2</v>
      </c>
      <c r="B4" s="3" t="s">
        <v>3</v>
      </c>
      <c r="D4" s="3" t="s">
        <v>4</v>
      </c>
      <c r="E4" s="3" t="s">
        <v>5</v>
      </c>
    </row>
    <row r="5" customFormat="false" ht="15" hidden="false" customHeight="false" outlineLevel="0" collapsed="false">
      <c r="A5" s="4" t="s">
        <v>6</v>
      </c>
      <c r="B5" s="5" t="n">
        <v>0.72</v>
      </c>
      <c r="D5" s="6" t="n">
        <v>15</v>
      </c>
      <c r="E5" s="7" t="n">
        <f aca="false">INDEX(B5:B16,MATCH(TRUE(),D5&lt;{2,4,6,8,10,12,14,16,18,20,22,24},0))</f>
        <v>0.947</v>
      </c>
    </row>
    <row r="6" customFormat="false" ht="15" hidden="false" customHeight="false" outlineLevel="0" collapsed="false">
      <c r="A6" s="4" t="s">
        <v>7</v>
      </c>
      <c r="B6" s="5" t="n">
        <v>0.683</v>
      </c>
    </row>
    <row r="7" customFormat="false" ht="15" hidden="false" customHeight="false" outlineLevel="0" collapsed="false">
      <c r="A7" s="4" t="s">
        <v>8</v>
      </c>
      <c r="B7" s="5" t="n">
        <v>0.751</v>
      </c>
      <c r="D7" s="2" t="s">
        <v>9</v>
      </c>
      <c r="E7" s="2"/>
    </row>
    <row r="8" customFormat="false" ht="15" hidden="false" customHeight="false" outlineLevel="0" collapsed="false">
      <c r="A8" s="4" t="s">
        <v>10</v>
      </c>
      <c r="B8" s="5" t="n">
        <v>0.687</v>
      </c>
    </row>
    <row r="9" customFormat="false" ht="15" hidden="false" customHeight="false" outlineLevel="0" collapsed="false">
      <c r="A9" s="4" t="s">
        <v>11</v>
      </c>
      <c r="B9" s="5" t="n">
        <v>0.638</v>
      </c>
    </row>
    <row r="10" customFormat="false" ht="15" hidden="false" customHeight="false" outlineLevel="0" collapsed="false">
      <c r="A10" s="4" t="s">
        <v>12</v>
      </c>
      <c r="B10" s="5" t="n">
        <v>0.939</v>
      </c>
    </row>
    <row r="11" customFormat="false" ht="15" hidden="false" customHeight="false" outlineLevel="0" collapsed="false">
      <c r="A11" s="4" t="s">
        <v>13</v>
      </c>
      <c r="B11" s="5" t="n">
        <v>0.958</v>
      </c>
    </row>
    <row r="12" customFormat="false" ht="15" hidden="false" customHeight="false" outlineLevel="0" collapsed="false">
      <c r="A12" s="4" t="s">
        <v>14</v>
      </c>
      <c r="B12" s="5" t="n">
        <v>0.947</v>
      </c>
    </row>
    <row r="13" customFormat="false" ht="15" hidden="false" customHeight="false" outlineLevel="0" collapsed="false">
      <c r="A13" s="4" t="s">
        <v>15</v>
      </c>
      <c r="B13" s="5" t="n">
        <v>0.954</v>
      </c>
    </row>
    <row r="14" customFormat="false" ht="15" hidden="false" customHeight="false" outlineLevel="0" collapsed="false">
      <c r="A14" s="4" t="s">
        <v>16</v>
      </c>
      <c r="B14" s="5" t="n">
        <v>0.968</v>
      </c>
    </row>
    <row r="15" customFormat="false" ht="15" hidden="false" customHeight="false" outlineLevel="0" collapsed="false">
      <c r="A15" s="4" t="s">
        <v>17</v>
      </c>
      <c r="B15" s="5" t="n">
        <v>0.973</v>
      </c>
    </row>
    <row r="16" customFormat="false" ht="15" hidden="false" customHeight="false" outlineLevel="0" collapsed="false">
      <c r="A16" s="4" t="s">
        <v>18</v>
      </c>
      <c r="B16" s="5" t="n">
        <v>0.959</v>
      </c>
    </row>
    <row r="18" customFormat="false" ht="15" hidden="false" customHeight="false" outlineLevel="0" collapsed="false">
      <c r="A18" s="8" t="s">
        <v>19</v>
      </c>
      <c r="B18" s="8"/>
    </row>
    <row r="20" customFormat="false" ht="15" hidden="false" customHeight="false" outlineLevel="0" collapsed="false">
      <c r="A20" s="9" t="s">
        <v>20</v>
      </c>
    </row>
    <row r="21" customFormat="false" ht="60" hidden="false" customHeight="true" outlineLevel="0" collapsed="false">
      <c r="A21" s="10" t="s">
        <v>21</v>
      </c>
      <c r="B21" s="10"/>
      <c r="C21" s="10"/>
      <c r="D21" s="10"/>
      <c r="E21" s="10"/>
    </row>
  </sheetData>
  <mergeCells count="5">
    <mergeCell ref="A1:B1"/>
    <mergeCell ref="A2:B2"/>
    <mergeCell ref="D7:E7"/>
    <mergeCell ref="A18:B18"/>
    <mergeCell ref="A21:E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2026-08-26T12:03:25Z</dcterms:created>
  <dc:creator>openpyxl</dc:creator>
  <dc:description/>
  <dc:language>en-US</dc:language>
  <cp:lastModifiedBy/>
  <dcterms:modified xsi:type="dcterms:W3CDTF">2026-08-26T12:03:31Z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